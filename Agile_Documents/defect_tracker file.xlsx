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an\OneDrive\Desktop\Agile_Documents\"/>
    </mc:Choice>
  </mc:AlternateContent>
  <xr:revisionPtr revIDLastSave="0" documentId="8_{0225EED4-C5E2-48FB-B9BA-5AFAF68E8E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 Tracker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B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<sst xmlns="http://schemas.openxmlformats.org/spreadsheetml/2006/main" count="413" uniqueCount="224">
  <si>
    <t>Defect ID</t>
  </si>
  <si>
    <t>Module</t>
  </si>
  <si>
    <t>Description</t>
  </si>
  <si>
    <t>Type of Defect</t>
  </si>
  <si>
    <t>Severity</t>
  </si>
  <si>
    <t>Action Taken</t>
  </si>
  <si>
    <t>Remarks</t>
  </si>
  <si>
    <t>Status</t>
  </si>
  <si>
    <t>D-001</t>
  </si>
  <si>
    <t>Data Transformation</t>
  </si>
  <si>
    <t>Abstract section not detected for papers where abstract was labelled as 'Summary' instead of 'Abstract'</t>
  </si>
  <si>
    <t>Logic Error</t>
  </si>
  <si>
    <t>Medium</t>
  </si>
  <si>
    <t>Updated section detection regex to include alternate labels such as Summary, Overview and Introduction</t>
  </si>
  <si>
    <t>Affected 2 out of 10 papers; fixed by broadening the pattern matcher</t>
  </si>
  <si>
    <t>Fixed</t>
  </si>
  <si>
    <t>D-002</t>
  </si>
  <si>
    <t>Citation data JSON contained duplicate citation entries for papers that referenced the same source multiple times</t>
  </si>
  <si>
    <t>Data Error</t>
  </si>
  <si>
    <t>Low</t>
  </si>
  <si>
    <t>Added deduplication step using set-based filtering before writing to citation_data.json</t>
  </si>
  <si>
    <t>Duplicates inflated citation count; resolved without data loss</t>
  </si>
  <si>
    <t>D-003</t>
  </si>
  <si>
    <t>core_data.json was written with non-UTF-8 characters causing json.load() to fail on Windows machines</t>
  </si>
  <si>
    <t>Runtime Error</t>
  </si>
  <si>
    <t>High</t>
  </si>
  <si>
    <t>Added ensure_ascii=False and explicit UTF-8 encoding in all json.dump() calls</t>
  </si>
  <si>
    <t>Impacted portability of JSON files across platforms</t>
  </si>
  <si>
    <t>D-004</t>
  </si>
  <si>
    <t>Entity Extraction</t>
  </si>
  <si>
    <t>spaCy NER model failed to load with error 'Can't find model en_core_web_sm' on fresh environment setup</t>
  </si>
  <si>
    <t>Configuration</t>
  </si>
  <si>
    <t>Added python -m spacy download en_core_web_sm to the installation instructions and setup script</t>
  </si>
  <si>
    <t>Missing model caused complete failure of entity_extraction.py; added to README</t>
  </si>
  <si>
    <t>D-005</t>
  </si>
  <si>
    <t>Entity extraction produced empty output for papers where all text was stored as a single long string with no sentence boundaries</t>
  </si>
  <si>
    <t>Added sentence tokenisation using spaCy sentencizer before NER processing</t>
  </si>
  <si>
    <t>Affected 1 paper; post-fix entity count increased from 0 to 47 for that paper</t>
  </si>
  <si>
    <t>D-006</t>
  </si>
  <si>
    <t>Relationship Extraction</t>
  </si>
  <si>
    <t>relationship_extraction.py raised KeyError when a chunk had no 'text' key due to incomplete JSON entry</t>
  </si>
  <si>
    <t>Added defensive dict.get() checks with empty string fallback before processing each chunk</t>
  </si>
  <si>
    <t>Caused script to crash mid-run; fixed with input validation</t>
  </si>
  <si>
    <t>D-007</t>
  </si>
  <si>
    <t>Triple Extraction</t>
  </si>
  <si>
    <t>Some triples had None as subject or object when entity spans were empty strings after stripping whitespace</t>
  </si>
  <si>
    <t>Added validation to skip any triple where subject, predicate or object is None or empty</t>
  </si>
  <si>
    <t>Invalid triples would have caused Cypher import errors in Neo4j</t>
  </si>
  <si>
    <t>D-008</t>
  </si>
  <si>
    <t>Neo4j Import</t>
  </si>
  <si>
    <t>neo4j_import.py raised AuthError: Unauthorized when correct password was entered due to trailing whitespace in config</t>
  </si>
  <si>
    <t>Added .strip() to all credential reads from config.py; documented that password must have no spaces</t>
  </si>
  <si>
    <t>Blocked entire import phase; required environment variable sanitisation</t>
  </si>
  <si>
    <t>D-009</t>
  </si>
  <si>
    <t>Running neo4j_import.py twice on same data created duplicate nodes because CREATE was used instead of MERGE</t>
  </si>
  <si>
    <t>Replaced all CREATE statements with MERGE using paper_id and entity name as unique identifiers</t>
  </si>
  <si>
    <t>Caused node count to double on re-import; MERGE resolved idempotency</t>
  </si>
  <si>
    <t>D-010</t>
  </si>
  <si>
    <t>Section nodes were created with empty raw_text property because paper text was stored under a different key in graph_documents.json</t>
  </si>
  <si>
    <t>Wrote fix_all_sections.py and fix_empty_sections.py to backfill raw_text from source JSON into all Section nodes</t>
  </si>
  <si>
    <t>Affected all 10 papers; required a separate patching script to repair the graph</t>
  </si>
  <si>
    <t>D-011</t>
  </si>
  <si>
    <t>Neo4j connection timed out during bulk import of large papers because transaction batch size was too large</t>
  </si>
  <si>
    <t>Performance</t>
  </si>
  <si>
    <t>Reduced batch size from 1000 to 100 nodes per transaction and added retry logic with exponential backoff</t>
  </si>
  <si>
    <t>Import time increased slightly but stability improved significantly</t>
  </si>
  <si>
    <t>D-012</t>
  </si>
  <si>
    <t>Step 1 – Neo4j Fetch</t>
  </si>
  <si>
    <t>step1_neo4j_fetch.py returned empty graph_documents.json when Neo4j DBMS was started but the database was not yet online</t>
  </si>
  <si>
    <t>Integration Error</t>
  </si>
  <si>
    <t>Added a connection health-check loop that retries up to 5 times before raising an error with clear instructions</t>
  </si>
  <si>
    <t>User had to manually wait for Neo4j to fully start; health-check now handles this automatically</t>
  </si>
  <si>
    <t>D-013</t>
  </si>
  <si>
    <t>Step 2 – Text Conversion</t>
  </si>
  <si>
    <t>Relationship chunks had duplicate content because the same relationship appeared in both directions in Neo4j</t>
  </si>
  <si>
    <t>Added seen_pairs set to deduplicate relationship chunk text during conversion</t>
  </si>
  <si>
    <t>Reduced relationship chunk count and improved retrieval precision</t>
  </si>
  <si>
    <t>D-014</t>
  </si>
  <si>
    <t>Step 3 – Embeddings</t>
  </si>
  <si>
    <t>Python 3.12 raised RuntimeError: can't register atexit after shutdown when sentence-transformers encoded large batches</t>
  </si>
  <si>
    <t>Critical</t>
  </si>
  <si>
    <t>Upgraded joblib, scikit-learn and sentence-transformers to latest versions via pip install --upgrade</t>
  </si>
  <si>
    <t>Critical blocker affecting all Python 3.12 environments; resolved by dependency upgrade</t>
  </si>
  <si>
    <t>D-015</t>
  </si>
  <si>
    <t>embeddings_matrix.npy shape mismatch caused FAISS index build to fail when one chunk had zero-length text</t>
  </si>
  <si>
    <t>Added text length validation in step2 to skip chunks with fewer than 10 characters before embedding</t>
  </si>
  <si>
    <t>Zero-length embeddings produced NaN vectors that corrupted the FAISS index</t>
  </si>
  <si>
    <t>D-016</t>
  </si>
  <si>
    <t>Step 4 – FAISS Store</t>
  </si>
  <si>
    <t>FAISS index built with IndexFlatL2 returned low scores for semantically similar queries because embeddings were normalised</t>
  </si>
  <si>
    <t>Switched from IndexFlatL2 to IndexFlatIP (inner product) which is equivalent to cosine similarity for normalised vectors</t>
  </si>
  <si>
    <t>Score scale changed from distance to similarity; all thresholds were updated accordingly</t>
  </si>
  <si>
    <t>D-017</t>
  </si>
  <si>
    <t>Step 5 – Query Retrieval</t>
  </si>
  <si>
    <t>Paper filter returned zero results for valid queries because paper_id comparison was case-sensitive and user input was lowercase</t>
  </si>
  <si>
    <t>Added .upper() normalisation on paper_id in both the filter and the metadata comparison</t>
  </si>
  <si>
    <t>Affected all paper-specific queries when user typed paper ID in lowercase</t>
  </si>
  <si>
    <t>D-018</t>
  </si>
  <si>
    <t>Step 6 – LLM Answer</t>
  </si>
  <si>
    <t>Groq API raised RateLimitError during rapid consecutive queries causing the app to crash with unhandled exception</t>
  </si>
  <si>
    <t>Wrapped all Groq API calls in try-except; returns formatted error string instead of raising; added retry hint in UI</t>
  </si>
  <si>
    <t>Prevented app crash; user now sees a friendly error message with retry guidance</t>
  </si>
  <si>
    <t>D-019</t>
  </si>
  <si>
    <t>Step 7 – Evaluation</t>
  </si>
  <si>
    <t>Faithfulness metric returned 0.0 for all answers because sentence splitting on full stops broke mid-acronym (e.g. U.S.A.)</t>
  </si>
  <si>
    <t>Switched sentence splitting to use a minimum length filter of 20 characters to skip false splits</t>
  </si>
  <si>
    <t>Faithfulness scores now reflect actual answer quality more accurately</t>
  </si>
  <si>
    <t>D-020</t>
  </si>
  <si>
    <t>Recall@K raised ZeroDivisionError when no chunks in the entire index exceeded the relevance threshold for a given query</t>
  </si>
  <si>
    <t>Added recall_total &gt; 0 guard before computing recall score; returns None when no relevant total exists</t>
  </si>
  <si>
    <t>Prevented hard crash during evaluation of edge-case queries</t>
  </si>
  <si>
    <t>D-021</t>
  </si>
  <si>
    <t>Upload Pipeline</t>
  </si>
  <si>
    <t>PDF upload pipeline silently produced empty sections for scanned PDFs because pdfplumber could not extract text from image-based pages</t>
  </si>
  <si>
    <t>Added page-level text length check; pages with fewer than 50 characters are flagged as scanned and skipped with a warning</t>
  </si>
  <si>
    <t>Scanned PDFs now produce an informative warning instead of being silently indexed as empty</t>
  </si>
  <si>
    <t>D-022</t>
  </si>
  <si>
    <t>FAISS index became corrupted after uploading a paper with embeddings of a different dimension than the existing index</t>
  </si>
  <si>
    <t>Added dimension validation before adding new embeddings; raises clear error if model dimension does not match existing index</t>
  </si>
  <si>
    <t>Critical data integrity issue; dimension check now prevents corruption</t>
  </si>
  <si>
    <t>D-023</t>
  </si>
  <si>
    <t>Uploading a paper with an already-existing paper_id overwrote existing metadata entries without warning</t>
  </si>
  <si>
    <t>Added paper_id existence check before processing; shows warning and requires user confirmation to overwrite</t>
  </si>
  <si>
    <t>Prevented accidental data loss from duplicate uploads</t>
  </si>
  <si>
    <t>D-024</t>
  </si>
  <si>
    <t>Streamlit UI</t>
  </si>
  <si>
    <t>Chat history was lost on every page rerun because chat_history was not initialised in st.session_state before use</t>
  </si>
  <si>
    <t>Added full session_state defaults dict initialised at the top of main() before any widget rendering</t>
  </si>
  <si>
    <t>Affected all output modes; fixed by ensuring state persistence across reruns</t>
  </si>
  <si>
    <t>D-025</t>
  </si>
  <si>
    <t>Output mode radio button reset to default on every interaction because it was not stored in session_state</t>
  </si>
  <si>
    <t>UI/UX Bug</t>
  </si>
  <si>
    <t>Streamlit radio widgets persist automatically; root cause was a competing st.rerun() call that reset state; removed redundant rerun</t>
  </si>
  <si>
    <t>Users had to reselect mode after every sidebar interaction</t>
  </si>
  <si>
    <t>D-026</t>
  </si>
  <si>
    <t>Quick suggestion buttons triggered query twice — once from button click and once from the pending_query pop causing duplicate answers</t>
  </si>
  <si>
    <t>Changed pending_query handling to use st.session_state.pop() which clears the value after first read preventing double trigger</t>
  </si>
  <si>
    <t>Duplicate answers appeared in chat history; pop() resolved the race condition</t>
  </si>
  <si>
    <t>D-027</t>
  </si>
  <si>
    <t>Paper selector dropdown showed stale paper list after a new paper was uploaded because available_papers() was not re-evaluated</t>
  </si>
  <si>
    <t>Added st.rerun() after successful paper upload so the sidebar refreshes and the new paper appears in all dropdowns</t>
  </si>
  <si>
    <t>Users had to manually refresh the page to see newly uploaded papers</t>
  </si>
  <si>
    <t>D-028</t>
  </si>
  <si>
    <t>Irrelevance Detection</t>
  </si>
  <si>
    <t>General knowledge pattern regex crashed with re.error for queries containing special regex characters such as parentheses and question marks</t>
  </si>
  <si>
    <t>Added re.escape() on the user query string before pattern matching to sanitise special characters</t>
  </si>
  <si>
    <t>Queries like 'what is ReLU(x)?' caused the entire irrelevance check to fail</t>
  </si>
  <si>
    <t>D-029</t>
  </si>
  <si>
    <t>Memory System</t>
  </si>
  <si>
    <t>chat_memory.json grew indefinitely because the MEMORY_MAX trim was applied before appending the new entry instead of after</t>
  </si>
  <si>
    <t>Moved the memory[-MEMORY_MAX:] slice to after the append so the new entry is always included and oldest entries are removed</t>
  </si>
  <si>
    <t>Memory file could grow without bound; off-by-one in trim logic</t>
  </si>
  <si>
    <t>D-030</t>
  </si>
  <si>
    <t>Memory similarity search raised ValueError when a stored memory entry had an empty embedding list from a failed encode call</t>
  </si>
  <si>
    <t>Added if not item.get('embedding') guard to skip entries with missing or empty embeddings during similarity search</t>
  </si>
  <si>
    <t>Prevented crash on memory lookup; corrupted entries are now safely skipped</t>
  </si>
  <si>
    <t>D-031</t>
  </si>
  <si>
    <t>SQLite Database</t>
  </si>
  <si>
    <t>chat_db.py raised sqlite3.OperationalError: no such table when app launched because init_db() was called after the first DB query</t>
  </si>
  <si>
    <t>Moved db.init_db() call to the very top of main() before any session or message operations</t>
  </si>
  <si>
    <t>Caused app to crash on first launch; ordering fix resolved the issue completely</t>
  </si>
  <si>
    <t>D-032</t>
  </si>
  <si>
    <t>Loading a past session from the dropdown showed messages in wrong order because get_session_messages() had no ORDER BY clause</t>
  </si>
  <si>
    <t>Added ORDER BY created_at ASC to the messages fetch query in chat_db.py</t>
  </si>
  <si>
    <t>Messages appeared in random insertion order; chronological ordering now ensured</t>
  </si>
  <si>
    <t>D-033</t>
  </si>
  <si>
    <t>Session message_count showed incorrect value because it was only incremented on save_message() but not decremented when messages were deleted</t>
  </si>
  <si>
    <t>Replaced stored message_count with a live COUNT(*) subquery formula in get_all_sessions()</t>
  </si>
  <si>
    <t>Count is now always accurate regardless of deletions</t>
  </si>
  <si>
    <t>D-034</t>
  </si>
  <si>
    <t>Concurrent session saves raised sqlite3.DatabaseError: database is locked under rapid query submission</t>
  </si>
  <si>
    <t>Added WAL (Write-Ahead Logging) mode via PRAGMA journal_mode=WAL on connection open to allow concurrent reads</t>
  </si>
  <si>
    <t>WAL mode reduced locking conflicts significantly under normal usage patterns</t>
  </si>
  <si>
    <t>D-035</t>
  </si>
  <si>
    <t>PDF Export</t>
  </si>
  <si>
    <t>ReportLab PDF generation crashed with RuntimeError: can't register atexit after shutdown in Python 3.12 when using HeaderFooterCanvas</t>
  </si>
  <si>
    <t>Replaced HeaderFooterCanvas override approach with BaseDocTemplate and PageTemplate using onPage callable for headers and footers</t>
  </si>
  <si>
    <t>Critical blocker on Python 3.12; architectural change to BaseDocTemplate fully resolved the issue</t>
  </si>
  <si>
    <t>D-036</t>
  </si>
  <si>
    <t>st.download_button inside st.chat_message() container raised StreamlitAPIException: DuplicateWidgetID on second render</t>
  </si>
  <si>
    <t>Moved all PDF download buttons outside st.chat_message() containers and added hash-based unique key suffix using first 64 bytes of PDF content</t>
  </si>
  <si>
    <t>Affected every answer with a PDF button; widget placement fix resolved duplicate key errors</t>
  </si>
  <si>
    <t>D-037</t>
  </si>
  <si>
    <t>PDF export button rendered inside the st.spinner() context caused widget to disappear after spinner closed</t>
  </si>
  <si>
    <t>Moved PDF button rendering to after chat_history.append() and outside the spinner block so it persists after generation completes</t>
  </si>
  <si>
    <t>PDF button was invisible to users after answer generation; placement fix made it consistently visible</t>
  </si>
  <si>
    <t>D-038</t>
  </si>
  <si>
    <t>PDF cover page raised KeyError when session had no paper_filter set because the key was accessed directly without a default</t>
  </si>
  <si>
    <t>Changed all session_info dict accesses to use .get() with appropriate default values such as 'All Papers'</t>
  </si>
  <si>
    <t>Affected sessions that used All Papers mode; .get() fallback resolved the error</t>
  </si>
  <si>
    <t>D-039</t>
  </si>
  <si>
    <t>PDF metrics table overflowed page width for sessions with long answer text because column widths were fixed without checking content length</t>
  </si>
  <si>
    <t>Set explicit column widths proportional to content type and enabled text wrapping on all metric cells in the ReportLab table style</t>
  </si>
  <si>
    <t>Metrics table now fits within the content frame on all page sizes</t>
  </si>
  <si>
    <t>D-040</t>
  </si>
  <si>
    <t>app.py raised ModuleNotFoundError: No module named 'chat_db' after restructuring project into frontend/ and backend/ folders</t>
  </si>
  <si>
    <t>Import Error</t>
  </si>
  <si>
    <t>Added sys.path.insert() block at top of app.py to add both project root and backend/ directory to Python path</t>
  </si>
  <si>
    <t>Structural refactor broke all backend imports; sys.path fix resolved without changing import statements</t>
  </si>
  <si>
    <t>D-041</t>
  </si>
  <si>
    <t>delete_paper() saved embeddings_matrix.npy to the current working directory instead of the data/ folder after folder restructure</t>
  </si>
  <si>
    <t>Replaced hardcoded filename string with config.EMBEDDINGS_FILE absolute path reference</t>
  </si>
  <si>
    <t>Caused embeddings file to be written to wrong location; config centralisation prevented recurrence</t>
  </si>
  <si>
    <t>D-042</t>
  </si>
  <si>
    <t>FAISS index file path resolved differently depending on which directory streamlit run was executed from causing FileNotFoundError</t>
  </si>
  <si>
    <t>Centralised all file paths in config.py using os.path.abspath(__file__) as root anchor; all paths are now absolute</t>
  </si>
  <si>
    <t>Affected all file reads and writes; absolute path pattern fully eliminates working-directory dependency</t>
  </si>
  <si>
    <t>D-043</t>
  </si>
  <si>
    <t>data/ directory did not exist on fresh clone causing all file write operations to fail with FileNotFoundError: [Errno 2]</t>
  </si>
  <si>
    <t>Added os.makedirs(DATA_DIR, exist_ok=True) in config.py so the data folder is created automatically on first import</t>
  </si>
  <si>
    <t>Affected all first-time setup scenarios; auto-creation resolved the onboarding friction</t>
  </si>
  <si>
    <t>D-044</t>
  </si>
  <si>
    <t>chat_db.py used a relative path for DB_FILE causing the SQLite database to be created in whatever directory the app was launched from</t>
  </si>
  <si>
    <t>Added sys.path and config import to chat_db.py; DB_FILE now uses config.DB_FILE absolute path</t>
  </si>
  <si>
    <t>Database location was inconsistent across different launch directories; absolute path fixed the issue</t>
  </si>
  <si>
    <t>Category</t>
  </si>
  <si>
    <t>Total Defects</t>
  </si>
  <si>
    <t>% Resolved</t>
  </si>
  <si>
    <t xml:space="preserve">  By Module</t>
  </si>
  <si>
    <t>TOTAL</t>
  </si>
  <si>
    <t>100.0%</t>
  </si>
  <si>
    <t xml:space="preserve">  By Defect Type</t>
  </si>
  <si>
    <t xml:space="preserve">  By Severity</t>
  </si>
  <si>
    <t>Detected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</si>
</sst>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3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1E3A5F"/>
      <name val="Arial"/>
      <charset val="1"/>
    </font>
    <font>
      <sz val="9"/>
      <color rgb="FF1A1A2E"/>
      <name val="Arial"/>
      <charset val="1"/>
    </font>
    <font>
      <b/>
      <sz val="9"/>
      <color rgb="FFE65100"/>
      <name val="Arial"/>
      <charset val="1"/>
    </font>
    <font>
      <b/>
      <sz val="9"/>
      <color rgb="FFF9A825"/>
      <name val="Arial"/>
      <charset val="1"/>
    </font>
    <font>
      <b/>
      <sz val="9"/>
      <color rgb="FF1B5E20"/>
      <name val="Arial"/>
      <charset val="1"/>
    </font>
    <font>
      <b/>
      <sz val="9"/>
      <color rgb="FFF57F17"/>
      <name val="Arial"/>
      <charset val="1"/>
    </font>
    <font>
      <b/>
      <sz val="9"/>
      <color rgb="FF558B2F"/>
      <name val="Arial"/>
      <charset val="1"/>
    </font>
    <font>
      <b/>
      <sz val="9"/>
      <color rgb="FF880E4F"/>
      <name val="Arial"/>
      <charset val="1"/>
    </font>
    <font>
      <b/>
      <sz val="9"/>
      <color rgb="FF6A1B9A"/>
      <name val="Arial"/>
      <charset val="1"/>
    </font>
    <font>
      <b/>
      <sz val="9"/>
      <color rgb="FF4527A0"/>
      <name val="Arial"/>
      <charset val="1"/>
    </font>
    <font>
      <b/>
      <sz val="9"/>
      <color rgb="FFB71C1C"/>
      <name val="Arial"/>
      <charset val="1"/>
    </font>
    <font>
      <b/>
      <sz val="9"/>
      <color rgb="FF0D47A1"/>
      <name val="Arial"/>
      <charset val="1"/>
    </font>
    <font>
      <b/>
      <sz val="10"/>
      <color rgb="FF1E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E65100"/>
      <name val="Arial"/>
      <charset val="1"/>
    </font>
    <font>
      <sz val="10"/>
      <color rgb="FF1A1A2E"/>
      <name val="Arial"/>
      <charset val="1"/>
    </font>
    <font>
      <sz val="10"/>
      <color rgb="FF880E4F"/>
      <name val="Arial"/>
      <charset val="1"/>
    </font>
    <font>
      <sz val="10"/>
      <color rgb="FFF57F17"/>
      <name val="Arial"/>
      <charset val="1"/>
    </font>
    <font>
      <sz val="10"/>
      <color rgb="FF1B5E20"/>
      <name val="Arial"/>
      <charset val="1"/>
    </font>
    <font>
      <sz val="10"/>
      <color rgb="FF0D47A1"/>
      <name val="Arial"/>
      <charset val="1"/>
    </font>
    <font>
      <sz val="10"/>
      <color rgb="FF6A1B9A"/>
      <name val="Arial"/>
      <charset val="1"/>
    </font>
    <font>
      <sz val="10"/>
      <color rgb="FF4527A0"/>
      <name val="Arial"/>
      <charset val="1"/>
    </font>
    <font>
      <sz val="10"/>
      <color rgb="FFB71C1C"/>
      <name val="Arial"/>
      <charset val="1"/>
    </font>
    <font>
      <b/>
      <sz val="10"/>
      <color rgb="FFB71C1C"/>
      <name val="Arial"/>
      <charset val="1"/>
    </font>
    <font>
      <b/>
      <sz val="10"/>
      <color rgb="FFE65100"/>
      <name val="Arial"/>
      <charset val="1"/>
    </font>
    <font>
      <b/>
      <sz val="10"/>
      <color rgb="FFF9A825"/>
      <name val="Arial"/>
      <charset val="1"/>
    </font>
    <font>
      <b/>
      <sz val="10"/>
      <color rgb="FF558B2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0D47A1"/>
      </patternFill>
    </fill>
    <fill>
      <patternFill patternType="solid">
        <fgColor rgb="FFFFFFFF"/>
        <bgColor rgb="FFF8FAFF"/>
      </patternFill>
    </fill>
    <fill>
      <patternFill patternType="solid">
        <fgColor rgb="FFFFF3E0"/>
        <bgColor rgb="FFFFF8E1"/>
      </patternFill>
    </fill>
    <fill>
      <patternFill patternType="solid">
        <fgColor rgb="FFFFFDE7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0F4FF"/>
        <bgColor rgb="FFF8FAFF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E8F5E9"/>
      </patternFill>
    </fill>
    <fill>
      <patternFill patternType="solid">
        <fgColor rgb="FFFCE4EC"/>
        <bgColor rgb="FFFCE7F3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FEBEE"/>
        <bgColor rgb="FFFCE7F3"/>
      </patternFill>
    </fill>
    <fill>
      <patternFill patternType="solid">
        <fgColor rgb="FFE3F2FD"/>
        <bgColor rgb="FFF0F4FF"/>
      </patternFill>
    </fill>
    <fill>
      <patternFill patternType="solid">
        <fgColor rgb="FFDBEAFE"/>
        <bgColor rgb="FFE3F2FD"/>
      </patternFill>
    </fill>
    <fill>
      <patternFill patternType="solid">
        <fgColor rgb="FFF8FAFF"/>
        <bgColor rgb="FFFFFFFF"/>
      </patternFill>
    </fill>
    <fill>
      <patternFill patternType="solid">
        <fgColor rgb="FFFCE7F3"/>
        <bgColor rgb="FFFCE4EC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9" fillId="10" borderId="2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1" fillId="12" borderId="2" xfId="0" applyFont="1" applyFill="1" applyBorder="1" applyAlignment="1">
      <alignment horizontal="center" vertical="top" wrapText="1"/>
    </xf>
    <xf numFmtId="0" fontId="12" fillId="13" borderId="2" xfId="0" applyFont="1" applyFill="1" applyBorder="1" applyAlignment="1">
      <alignment horizontal="center" vertical="top" wrapText="1"/>
    </xf>
    <xf numFmtId="0" fontId="13" fillId="14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5" fillId="16" borderId="2" xfId="0" applyFont="1" applyFill="1" applyBorder="1" applyAlignment="1">
      <alignment horizontal="center" vertical="center"/>
    </xf>
    <xf numFmtId="164" fontId="15" fillId="16" borderId="2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0" fontId="28" fillId="5" borderId="2" xfId="0" applyFont="1" applyFill="1" applyBorder="1" applyAlignment="1">
      <alignment horizontal="left" vertical="center"/>
    </xf>
    <xf numFmtId="0" fontId="18" fillId="5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left" vertical="center"/>
    </xf>
    <xf numFmtId="0" fontId="18" fillId="9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left" vertical="center"/>
    </xf>
    <xf numFmtId="0" fontId="14" fillId="17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CCCCC"/>
      <rgbColor rgb="FF808080"/>
      <rgbColor rgb="FFF0F4FF"/>
      <rgbColor rgb="FF993366"/>
      <rgbColor rgb="FFFFF8E1"/>
      <rgbColor rgb="FFE3F2FD"/>
      <rgbColor rgb="FF660066"/>
      <rgbColor rgb="FFF57F17"/>
      <rgbColor rgb="FF0D47A1"/>
      <rgbColor rgb="FFEDE7F6"/>
      <rgbColor rgb="FF000080"/>
      <rgbColor rgb="FFFF00FF"/>
      <rgbColor rgb="FFF1F8E9"/>
      <rgbColor rgb="FF00FFFF"/>
      <rgbColor rgb="FF6A1B9A"/>
      <rgbColor rgb="FF800000"/>
      <rgbColor rgb="FF008080"/>
      <rgbColor rgb="FF0000FF"/>
      <rgbColor rgb="FF00CCFF"/>
      <rgbColor rgb="FFDBEAFE"/>
      <rgbColor rgb="FFE8F5E9"/>
      <rgbColor rgb="FFFFF3E0"/>
      <rgbColor rgb="FFF3E5F5"/>
      <rgbColor rgb="FFFCE7F3"/>
      <rgbColor rgb="FFFFEBEE"/>
      <rgbColor rgb="FFFCE4EC"/>
      <rgbColor rgb="FF3366FF"/>
      <rgbColor rgb="FF33CCCC"/>
      <rgbColor rgb="FF99CC00"/>
      <rgbColor rgb="FFF8FAFF"/>
      <rgbColor rgb="FFF9A825"/>
      <rgbColor rgb="FFE65100"/>
      <rgbColor rgb="FF666699"/>
      <rgbColor rgb="FF969696"/>
      <rgbColor rgb="FF1E3A5F"/>
      <rgbColor rgb="FF558B2F"/>
      <rgbColor rgb="FF003300"/>
      <rgbColor rgb="FF333300"/>
      <rgbColor rgb="FFB71C1C"/>
      <rgbColor rgb="FF993366"/>
      <rgbColor rgb="FF4527A0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10" customWidth="1"/>
    <col min="2" max="2" width="22" customWidth="1"/>
    <col min="3" max="3" width="52" customWidth="1"/>
    <col min="4" max="4" width="16.21875" bestFit="1" customWidth="1"/>
    <col min="5" max="5" width="18" customWidth="1"/>
    <col min="6" max="6" width="11" customWidth="1"/>
    <col min="7" max="7" width="52" customWidth="1"/>
    <col min="8" max="8" width="42" customWidth="1"/>
    <col min="9" max="9" width="10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223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72" customHeight="1" x14ac:dyDescent="0.3">
      <c r="A2" s="2" t="s">
        <v>8</v>
      </c>
      <c r="B2" s="3" t="s">
        <v>9</v>
      </c>
      <c r="C2" s="3" t="s">
        <v>10</v>
      </c>
      <c r="D2" s="3">
        <v>1</v>
      </c>
      <c r="E2" s="4" t="s">
        <v>11</v>
      </c>
      <c r="F2" s="5" t="s">
        <v>12</v>
      </c>
      <c r="G2" s="3" t="s">
        <v>13</v>
      </c>
      <c r="H2" s="3" t="s">
        <v>14</v>
      </c>
      <c r="I2" s="6" t="s">
        <v>15</v>
      </c>
    </row>
    <row r="3" spans="1:9" ht="72" customHeight="1" x14ac:dyDescent="0.3">
      <c r="A3" s="7" t="s">
        <v>16</v>
      </c>
      <c r="B3" s="8" t="s">
        <v>9</v>
      </c>
      <c r="C3" s="8" t="s">
        <v>17</v>
      </c>
      <c r="D3" s="8">
        <v>1</v>
      </c>
      <c r="E3" s="9" t="s">
        <v>18</v>
      </c>
      <c r="F3" s="10" t="s">
        <v>19</v>
      </c>
      <c r="G3" s="8" t="s">
        <v>20</v>
      </c>
      <c r="H3" s="8" t="s">
        <v>21</v>
      </c>
      <c r="I3" s="6" t="s">
        <v>15</v>
      </c>
    </row>
    <row r="4" spans="1:9" ht="72" customHeight="1" x14ac:dyDescent="0.3">
      <c r="A4" s="2" t="s">
        <v>22</v>
      </c>
      <c r="B4" s="3" t="s">
        <v>9</v>
      </c>
      <c r="C4" s="3" t="s">
        <v>23</v>
      </c>
      <c r="D4" s="3">
        <v>1</v>
      </c>
      <c r="E4" s="11" t="s">
        <v>24</v>
      </c>
      <c r="F4" s="4" t="s">
        <v>25</v>
      </c>
      <c r="G4" s="3" t="s">
        <v>26</v>
      </c>
      <c r="H4" s="3" t="s">
        <v>27</v>
      </c>
      <c r="I4" s="6" t="s">
        <v>15</v>
      </c>
    </row>
    <row r="5" spans="1:9" ht="72" customHeight="1" x14ac:dyDescent="0.3">
      <c r="A5" s="7" t="s">
        <v>28</v>
      </c>
      <c r="B5" s="8" t="s">
        <v>29</v>
      </c>
      <c r="C5" s="8" t="s">
        <v>30</v>
      </c>
      <c r="D5" s="8">
        <v>1</v>
      </c>
      <c r="E5" s="6" t="s">
        <v>31</v>
      </c>
      <c r="F5" s="4" t="s">
        <v>25</v>
      </c>
      <c r="G5" s="8" t="s">
        <v>32</v>
      </c>
      <c r="H5" s="8" t="s">
        <v>33</v>
      </c>
      <c r="I5" s="6" t="s">
        <v>15</v>
      </c>
    </row>
    <row r="6" spans="1:9" ht="72" customHeight="1" x14ac:dyDescent="0.3">
      <c r="A6" s="2" t="s">
        <v>34</v>
      </c>
      <c r="B6" s="3" t="s">
        <v>29</v>
      </c>
      <c r="C6" s="3" t="s">
        <v>35</v>
      </c>
      <c r="D6" s="3">
        <v>1</v>
      </c>
      <c r="E6" s="4" t="s">
        <v>11</v>
      </c>
      <c r="F6" s="5" t="s">
        <v>12</v>
      </c>
      <c r="G6" s="3" t="s">
        <v>36</v>
      </c>
      <c r="H6" s="3" t="s">
        <v>37</v>
      </c>
      <c r="I6" s="6" t="s">
        <v>15</v>
      </c>
    </row>
    <row r="7" spans="1:9" ht="72" customHeight="1" x14ac:dyDescent="0.3">
      <c r="A7" s="7" t="s">
        <v>38</v>
      </c>
      <c r="B7" s="8" t="s">
        <v>39</v>
      </c>
      <c r="C7" s="8" t="s">
        <v>40</v>
      </c>
      <c r="D7" s="8">
        <v>1</v>
      </c>
      <c r="E7" s="11" t="s">
        <v>24</v>
      </c>
      <c r="F7" s="4" t="s">
        <v>25</v>
      </c>
      <c r="G7" s="8" t="s">
        <v>41</v>
      </c>
      <c r="H7" s="8" t="s">
        <v>42</v>
      </c>
      <c r="I7" s="6" t="s">
        <v>15</v>
      </c>
    </row>
    <row r="8" spans="1:9" ht="72" customHeight="1" x14ac:dyDescent="0.3">
      <c r="A8" s="2" t="s">
        <v>43</v>
      </c>
      <c r="B8" s="3" t="s">
        <v>44</v>
      </c>
      <c r="C8" s="3" t="s">
        <v>45</v>
      </c>
      <c r="D8" s="3">
        <v>1</v>
      </c>
      <c r="E8" s="9" t="s">
        <v>18</v>
      </c>
      <c r="F8" s="5" t="s">
        <v>12</v>
      </c>
      <c r="G8" s="3" t="s">
        <v>46</v>
      </c>
      <c r="H8" s="3" t="s">
        <v>47</v>
      </c>
      <c r="I8" s="6" t="s">
        <v>15</v>
      </c>
    </row>
    <row r="9" spans="1:9" ht="72" customHeight="1" x14ac:dyDescent="0.3">
      <c r="A9" s="7" t="s">
        <v>48</v>
      </c>
      <c r="B9" s="8" t="s">
        <v>49</v>
      </c>
      <c r="C9" s="8" t="s">
        <v>50</v>
      </c>
      <c r="D9" s="8">
        <v>2</v>
      </c>
      <c r="E9" s="6" t="s">
        <v>31</v>
      </c>
      <c r="F9" s="4" t="s">
        <v>25</v>
      </c>
      <c r="G9" s="8" t="s">
        <v>51</v>
      </c>
      <c r="H9" s="8" t="s">
        <v>52</v>
      </c>
      <c r="I9" s="6" t="s">
        <v>15</v>
      </c>
    </row>
    <row r="10" spans="1:9" ht="72" customHeight="1" x14ac:dyDescent="0.3">
      <c r="A10" s="2" t="s">
        <v>53</v>
      </c>
      <c r="B10" s="3" t="s">
        <v>49</v>
      </c>
      <c r="C10" s="3" t="s">
        <v>54</v>
      </c>
      <c r="D10" s="3">
        <v>2</v>
      </c>
      <c r="E10" s="4" t="s">
        <v>11</v>
      </c>
      <c r="F10" s="4" t="s">
        <v>25</v>
      </c>
      <c r="G10" s="3" t="s">
        <v>55</v>
      </c>
      <c r="H10" s="3" t="s">
        <v>56</v>
      </c>
      <c r="I10" s="6" t="s">
        <v>15</v>
      </c>
    </row>
    <row r="11" spans="1:9" ht="72" customHeight="1" x14ac:dyDescent="0.3">
      <c r="A11" s="7" t="s">
        <v>57</v>
      </c>
      <c r="B11" s="8" t="s">
        <v>49</v>
      </c>
      <c r="C11" s="8" t="s">
        <v>58</v>
      </c>
      <c r="D11" s="8">
        <v>3</v>
      </c>
      <c r="E11" s="9" t="s">
        <v>18</v>
      </c>
      <c r="F11" s="4" t="s">
        <v>25</v>
      </c>
      <c r="G11" s="8" t="s">
        <v>59</v>
      </c>
      <c r="H11" s="8" t="s">
        <v>60</v>
      </c>
      <c r="I11" s="6" t="s">
        <v>15</v>
      </c>
    </row>
    <row r="12" spans="1:9" ht="72" customHeight="1" x14ac:dyDescent="0.3">
      <c r="A12" s="2" t="s">
        <v>61</v>
      </c>
      <c r="B12" s="3" t="s">
        <v>49</v>
      </c>
      <c r="C12" s="3" t="s">
        <v>62</v>
      </c>
      <c r="D12" s="3">
        <v>3</v>
      </c>
      <c r="E12" s="12" t="s">
        <v>63</v>
      </c>
      <c r="F12" s="5" t="s">
        <v>12</v>
      </c>
      <c r="G12" s="3" t="s">
        <v>64</v>
      </c>
      <c r="H12" s="3" t="s">
        <v>65</v>
      </c>
      <c r="I12" s="6" t="s">
        <v>15</v>
      </c>
    </row>
    <row r="13" spans="1:9" ht="72" customHeight="1" x14ac:dyDescent="0.3">
      <c r="A13" s="7" t="s">
        <v>66</v>
      </c>
      <c r="B13" s="8" t="s">
        <v>67</v>
      </c>
      <c r="C13" s="8" t="s">
        <v>68</v>
      </c>
      <c r="D13" s="8">
        <v>3</v>
      </c>
      <c r="E13" s="13" t="s">
        <v>69</v>
      </c>
      <c r="F13" s="4" t="s">
        <v>25</v>
      </c>
      <c r="G13" s="8" t="s">
        <v>70</v>
      </c>
      <c r="H13" s="8" t="s">
        <v>71</v>
      </c>
      <c r="I13" s="6" t="s">
        <v>15</v>
      </c>
    </row>
    <row r="14" spans="1:9" ht="72" customHeight="1" x14ac:dyDescent="0.3">
      <c r="A14" s="2" t="s">
        <v>72</v>
      </c>
      <c r="B14" s="3" t="s">
        <v>73</v>
      </c>
      <c r="C14" s="3" t="s">
        <v>74</v>
      </c>
      <c r="D14" s="3">
        <v>3</v>
      </c>
      <c r="E14" s="9" t="s">
        <v>18</v>
      </c>
      <c r="F14" s="5" t="s">
        <v>12</v>
      </c>
      <c r="G14" s="3" t="s">
        <v>75</v>
      </c>
      <c r="H14" s="3" t="s">
        <v>76</v>
      </c>
      <c r="I14" s="6" t="s">
        <v>15</v>
      </c>
    </row>
    <row r="15" spans="1:9" ht="72" customHeight="1" x14ac:dyDescent="0.3">
      <c r="A15" s="7" t="s">
        <v>77</v>
      </c>
      <c r="B15" s="8" t="s">
        <v>78</v>
      </c>
      <c r="C15" s="8" t="s">
        <v>79</v>
      </c>
      <c r="D15" s="8">
        <v>3</v>
      </c>
      <c r="E15" s="11" t="s">
        <v>24</v>
      </c>
      <c r="F15" s="14" t="s">
        <v>80</v>
      </c>
      <c r="G15" s="8" t="s">
        <v>81</v>
      </c>
      <c r="H15" s="8" t="s">
        <v>82</v>
      </c>
      <c r="I15" s="6" t="s">
        <v>15</v>
      </c>
    </row>
    <row r="16" spans="1:9" ht="72" customHeight="1" x14ac:dyDescent="0.3">
      <c r="A16" s="2" t="s">
        <v>83</v>
      </c>
      <c r="B16" s="3" t="s">
        <v>78</v>
      </c>
      <c r="C16" s="3" t="s">
        <v>84</v>
      </c>
      <c r="D16" s="3">
        <v>3</v>
      </c>
      <c r="E16" s="9" t="s">
        <v>18</v>
      </c>
      <c r="F16" s="4" t="s">
        <v>25</v>
      </c>
      <c r="G16" s="3" t="s">
        <v>85</v>
      </c>
      <c r="H16" s="3" t="s">
        <v>86</v>
      </c>
      <c r="I16" s="6" t="s">
        <v>15</v>
      </c>
    </row>
    <row r="17" spans="1:9" ht="72" customHeight="1" x14ac:dyDescent="0.3">
      <c r="A17" s="7" t="s">
        <v>87</v>
      </c>
      <c r="B17" s="8" t="s">
        <v>88</v>
      </c>
      <c r="C17" s="8" t="s">
        <v>89</v>
      </c>
      <c r="D17" s="8">
        <v>3</v>
      </c>
      <c r="E17" s="4" t="s">
        <v>11</v>
      </c>
      <c r="F17" s="4" t="s">
        <v>25</v>
      </c>
      <c r="G17" s="8" t="s">
        <v>90</v>
      </c>
      <c r="H17" s="8" t="s">
        <v>91</v>
      </c>
      <c r="I17" s="6" t="s">
        <v>15</v>
      </c>
    </row>
    <row r="18" spans="1:9" ht="72" customHeight="1" x14ac:dyDescent="0.3">
      <c r="A18" s="2" t="s">
        <v>92</v>
      </c>
      <c r="B18" s="3" t="s">
        <v>93</v>
      </c>
      <c r="C18" s="3" t="s">
        <v>94</v>
      </c>
      <c r="D18" s="3">
        <v>3</v>
      </c>
      <c r="E18" s="4" t="s">
        <v>11</v>
      </c>
      <c r="F18" s="5" t="s">
        <v>12</v>
      </c>
      <c r="G18" s="3" t="s">
        <v>95</v>
      </c>
      <c r="H18" s="3" t="s">
        <v>96</v>
      </c>
      <c r="I18" s="6" t="s">
        <v>15</v>
      </c>
    </row>
    <row r="19" spans="1:9" ht="72" customHeight="1" x14ac:dyDescent="0.3">
      <c r="A19" s="7" t="s">
        <v>97</v>
      </c>
      <c r="B19" s="8" t="s">
        <v>98</v>
      </c>
      <c r="C19" s="8" t="s">
        <v>99</v>
      </c>
      <c r="D19" s="8">
        <v>3</v>
      </c>
      <c r="E19" s="11" t="s">
        <v>24</v>
      </c>
      <c r="F19" s="4" t="s">
        <v>25</v>
      </c>
      <c r="G19" s="8" t="s">
        <v>100</v>
      </c>
      <c r="H19" s="8" t="s">
        <v>101</v>
      </c>
      <c r="I19" s="6" t="s">
        <v>15</v>
      </c>
    </row>
    <row r="20" spans="1:9" ht="72" customHeight="1" x14ac:dyDescent="0.3">
      <c r="A20" s="2" t="s">
        <v>102</v>
      </c>
      <c r="B20" s="3" t="s">
        <v>103</v>
      </c>
      <c r="C20" s="3" t="s">
        <v>104</v>
      </c>
      <c r="D20" s="3">
        <v>3</v>
      </c>
      <c r="E20" s="4" t="s">
        <v>11</v>
      </c>
      <c r="F20" s="5" t="s">
        <v>12</v>
      </c>
      <c r="G20" s="3" t="s">
        <v>105</v>
      </c>
      <c r="H20" s="3" t="s">
        <v>106</v>
      </c>
      <c r="I20" s="6" t="s">
        <v>15</v>
      </c>
    </row>
    <row r="21" spans="1:9" ht="72" customHeight="1" x14ac:dyDescent="0.3">
      <c r="A21" s="7" t="s">
        <v>107</v>
      </c>
      <c r="B21" s="8" t="s">
        <v>103</v>
      </c>
      <c r="C21" s="8" t="s">
        <v>108</v>
      </c>
      <c r="D21" s="8">
        <v>3</v>
      </c>
      <c r="E21" s="11" t="s">
        <v>24</v>
      </c>
      <c r="F21" s="4" t="s">
        <v>25</v>
      </c>
      <c r="G21" s="8" t="s">
        <v>109</v>
      </c>
      <c r="H21" s="8" t="s">
        <v>110</v>
      </c>
      <c r="I21" s="6" t="s">
        <v>15</v>
      </c>
    </row>
    <row r="22" spans="1:9" ht="72" customHeight="1" x14ac:dyDescent="0.3">
      <c r="A22" s="2" t="s">
        <v>111</v>
      </c>
      <c r="B22" s="3" t="s">
        <v>112</v>
      </c>
      <c r="C22" s="3" t="s">
        <v>113</v>
      </c>
      <c r="D22" s="3">
        <v>3</v>
      </c>
      <c r="E22" s="4" t="s">
        <v>11</v>
      </c>
      <c r="F22" s="4" t="s">
        <v>25</v>
      </c>
      <c r="G22" s="3" t="s">
        <v>114</v>
      </c>
      <c r="H22" s="3" t="s">
        <v>115</v>
      </c>
      <c r="I22" s="6" t="s">
        <v>15</v>
      </c>
    </row>
    <row r="23" spans="1:9" ht="72" customHeight="1" x14ac:dyDescent="0.3">
      <c r="A23" s="7" t="s">
        <v>116</v>
      </c>
      <c r="B23" s="8" t="s">
        <v>112</v>
      </c>
      <c r="C23" s="8" t="s">
        <v>117</v>
      </c>
      <c r="D23" s="8">
        <v>3</v>
      </c>
      <c r="E23" s="9" t="s">
        <v>18</v>
      </c>
      <c r="F23" s="14" t="s">
        <v>80</v>
      </c>
      <c r="G23" s="8" t="s">
        <v>118</v>
      </c>
      <c r="H23" s="8" t="s">
        <v>119</v>
      </c>
      <c r="I23" s="6" t="s">
        <v>15</v>
      </c>
    </row>
    <row r="24" spans="1:9" ht="72" customHeight="1" x14ac:dyDescent="0.3">
      <c r="A24" s="2" t="s">
        <v>120</v>
      </c>
      <c r="B24" s="3" t="s">
        <v>112</v>
      </c>
      <c r="C24" s="3" t="s">
        <v>121</v>
      </c>
      <c r="D24" s="3">
        <v>4</v>
      </c>
      <c r="E24" s="4" t="s">
        <v>11</v>
      </c>
      <c r="F24" s="5" t="s">
        <v>12</v>
      </c>
      <c r="G24" s="3" t="s">
        <v>122</v>
      </c>
      <c r="H24" s="3" t="s">
        <v>123</v>
      </c>
      <c r="I24" s="6" t="s">
        <v>15</v>
      </c>
    </row>
    <row r="25" spans="1:9" ht="72" customHeight="1" x14ac:dyDescent="0.3">
      <c r="A25" s="7" t="s">
        <v>124</v>
      </c>
      <c r="B25" s="8" t="s">
        <v>125</v>
      </c>
      <c r="C25" s="8" t="s">
        <v>126</v>
      </c>
      <c r="D25" s="8">
        <v>4</v>
      </c>
      <c r="E25" s="4" t="s">
        <v>11</v>
      </c>
      <c r="F25" s="4" t="s">
        <v>25</v>
      </c>
      <c r="G25" s="8" t="s">
        <v>127</v>
      </c>
      <c r="H25" s="8" t="s">
        <v>128</v>
      </c>
      <c r="I25" s="6" t="s">
        <v>15</v>
      </c>
    </row>
    <row r="26" spans="1:9" ht="72" customHeight="1" x14ac:dyDescent="0.3">
      <c r="A26" s="2" t="s">
        <v>129</v>
      </c>
      <c r="B26" s="3" t="s">
        <v>125</v>
      </c>
      <c r="C26" s="3" t="s">
        <v>130</v>
      </c>
      <c r="D26" s="3">
        <v>4</v>
      </c>
      <c r="E26" s="15" t="s">
        <v>131</v>
      </c>
      <c r="F26" s="5" t="s">
        <v>12</v>
      </c>
      <c r="G26" s="3" t="s">
        <v>132</v>
      </c>
      <c r="H26" s="3" t="s">
        <v>133</v>
      </c>
      <c r="I26" s="6" t="s">
        <v>15</v>
      </c>
    </row>
    <row r="27" spans="1:9" ht="72" customHeight="1" x14ac:dyDescent="0.3">
      <c r="A27" s="7" t="s">
        <v>134</v>
      </c>
      <c r="B27" s="8" t="s">
        <v>125</v>
      </c>
      <c r="C27" s="8" t="s">
        <v>135</v>
      </c>
      <c r="D27" s="8">
        <v>4</v>
      </c>
      <c r="E27" s="4" t="s">
        <v>11</v>
      </c>
      <c r="F27" s="4" t="s">
        <v>25</v>
      </c>
      <c r="G27" s="8" t="s">
        <v>136</v>
      </c>
      <c r="H27" s="8" t="s">
        <v>137</v>
      </c>
      <c r="I27" s="6" t="s">
        <v>15</v>
      </c>
    </row>
    <row r="28" spans="1:9" ht="72" customHeight="1" x14ac:dyDescent="0.3">
      <c r="A28" s="2" t="s">
        <v>138</v>
      </c>
      <c r="B28" s="3" t="s">
        <v>125</v>
      </c>
      <c r="C28" s="3" t="s">
        <v>139</v>
      </c>
      <c r="D28" s="3">
        <v>4</v>
      </c>
      <c r="E28" s="15" t="s">
        <v>131</v>
      </c>
      <c r="F28" s="5" t="s">
        <v>12</v>
      </c>
      <c r="G28" s="3" t="s">
        <v>140</v>
      </c>
      <c r="H28" s="3" t="s">
        <v>141</v>
      </c>
      <c r="I28" s="6" t="s">
        <v>15</v>
      </c>
    </row>
    <row r="29" spans="1:9" ht="72" customHeight="1" x14ac:dyDescent="0.3">
      <c r="A29" s="7" t="s">
        <v>142</v>
      </c>
      <c r="B29" s="8" t="s">
        <v>143</v>
      </c>
      <c r="C29" s="8" t="s">
        <v>144</v>
      </c>
      <c r="D29" s="8">
        <v>4</v>
      </c>
      <c r="E29" s="11" t="s">
        <v>24</v>
      </c>
      <c r="F29" s="4" t="s">
        <v>25</v>
      </c>
      <c r="G29" s="8" t="s">
        <v>145</v>
      </c>
      <c r="H29" s="8" t="s">
        <v>146</v>
      </c>
      <c r="I29" s="6" t="s">
        <v>15</v>
      </c>
    </row>
    <row r="30" spans="1:9" ht="72" customHeight="1" x14ac:dyDescent="0.3">
      <c r="A30" s="2" t="s">
        <v>147</v>
      </c>
      <c r="B30" s="3" t="s">
        <v>148</v>
      </c>
      <c r="C30" s="3" t="s">
        <v>149</v>
      </c>
      <c r="D30" s="3">
        <v>4</v>
      </c>
      <c r="E30" s="4" t="s">
        <v>11</v>
      </c>
      <c r="F30" s="5" t="s">
        <v>12</v>
      </c>
      <c r="G30" s="3" t="s">
        <v>150</v>
      </c>
      <c r="H30" s="3" t="s">
        <v>151</v>
      </c>
      <c r="I30" s="6" t="s">
        <v>15</v>
      </c>
    </row>
    <row r="31" spans="1:9" ht="72" customHeight="1" x14ac:dyDescent="0.3">
      <c r="A31" s="7" t="s">
        <v>152</v>
      </c>
      <c r="B31" s="8" t="s">
        <v>148</v>
      </c>
      <c r="C31" s="8" t="s">
        <v>153</v>
      </c>
      <c r="D31" s="8">
        <v>4</v>
      </c>
      <c r="E31" s="11" t="s">
        <v>24</v>
      </c>
      <c r="F31" s="5" t="s">
        <v>12</v>
      </c>
      <c r="G31" s="8" t="s">
        <v>154</v>
      </c>
      <c r="H31" s="8" t="s">
        <v>155</v>
      </c>
      <c r="I31" s="6" t="s">
        <v>15</v>
      </c>
    </row>
    <row r="32" spans="1:9" ht="72" customHeight="1" x14ac:dyDescent="0.3">
      <c r="A32" s="2" t="s">
        <v>156</v>
      </c>
      <c r="B32" s="3" t="s">
        <v>157</v>
      </c>
      <c r="C32" s="3" t="s">
        <v>158</v>
      </c>
      <c r="D32" s="3">
        <v>4</v>
      </c>
      <c r="E32" s="4" t="s">
        <v>11</v>
      </c>
      <c r="F32" s="14" t="s">
        <v>80</v>
      </c>
      <c r="G32" s="3" t="s">
        <v>159</v>
      </c>
      <c r="H32" s="3" t="s">
        <v>160</v>
      </c>
      <c r="I32" s="6" t="s">
        <v>15</v>
      </c>
    </row>
    <row r="33" spans="1:9" ht="72" customHeight="1" x14ac:dyDescent="0.3">
      <c r="A33" s="7" t="s">
        <v>161</v>
      </c>
      <c r="B33" s="8" t="s">
        <v>157</v>
      </c>
      <c r="C33" s="8" t="s">
        <v>162</v>
      </c>
      <c r="D33" s="8">
        <v>4</v>
      </c>
      <c r="E33" s="4" t="s">
        <v>11</v>
      </c>
      <c r="F33" s="5" t="s">
        <v>12</v>
      </c>
      <c r="G33" s="8" t="s">
        <v>163</v>
      </c>
      <c r="H33" s="8" t="s">
        <v>164</v>
      </c>
      <c r="I33" s="6" t="s">
        <v>15</v>
      </c>
    </row>
    <row r="34" spans="1:9" ht="72" customHeight="1" x14ac:dyDescent="0.3">
      <c r="A34" s="2" t="s">
        <v>165</v>
      </c>
      <c r="B34" s="3" t="s">
        <v>157</v>
      </c>
      <c r="C34" s="3" t="s">
        <v>166</v>
      </c>
      <c r="D34" s="3">
        <v>4</v>
      </c>
      <c r="E34" s="9" t="s">
        <v>18</v>
      </c>
      <c r="F34" s="10" t="s">
        <v>19</v>
      </c>
      <c r="G34" s="3" t="s">
        <v>167</v>
      </c>
      <c r="H34" s="3" t="s">
        <v>168</v>
      </c>
      <c r="I34" s="6" t="s">
        <v>15</v>
      </c>
    </row>
    <row r="35" spans="1:9" ht="72" customHeight="1" x14ac:dyDescent="0.3">
      <c r="A35" s="7" t="s">
        <v>169</v>
      </c>
      <c r="B35" s="8" t="s">
        <v>157</v>
      </c>
      <c r="C35" s="8" t="s">
        <v>170</v>
      </c>
      <c r="D35" s="8">
        <v>4</v>
      </c>
      <c r="E35" s="12" t="s">
        <v>63</v>
      </c>
      <c r="F35" s="5" t="s">
        <v>12</v>
      </c>
      <c r="G35" s="8" t="s">
        <v>171</v>
      </c>
      <c r="H35" s="8" t="s">
        <v>172</v>
      </c>
      <c r="I35" s="6" t="s">
        <v>15</v>
      </c>
    </row>
    <row r="36" spans="1:9" ht="72" customHeight="1" x14ac:dyDescent="0.3">
      <c r="A36" s="2" t="s">
        <v>173</v>
      </c>
      <c r="B36" s="3" t="s">
        <v>174</v>
      </c>
      <c r="C36" s="3" t="s">
        <v>175</v>
      </c>
      <c r="D36" s="3">
        <v>4</v>
      </c>
      <c r="E36" s="11" t="s">
        <v>24</v>
      </c>
      <c r="F36" s="14" t="s">
        <v>80</v>
      </c>
      <c r="G36" s="3" t="s">
        <v>176</v>
      </c>
      <c r="H36" s="3" t="s">
        <v>177</v>
      </c>
      <c r="I36" s="6" t="s">
        <v>15</v>
      </c>
    </row>
    <row r="37" spans="1:9" ht="72" customHeight="1" x14ac:dyDescent="0.3">
      <c r="A37" s="7" t="s">
        <v>178</v>
      </c>
      <c r="B37" s="8" t="s">
        <v>174</v>
      </c>
      <c r="C37" s="8" t="s">
        <v>179</v>
      </c>
      <c r="D37" s="8">
        <v>4</v>
      </c>
      <c r="E37" s="15" t="s">
        <v>131</v>
      </c>
      <c r="F37" s="14" t="s">
        <v>80</v>
      </c>
      <c r="G37" s="8" t="s">
        <v>180</v>
      </c>
      <c r="H37" s="8" t="s">
        <v>181</v>
      </c>
      <c r="I37" s="6" t="s">
        <v>15</v>
      </c>
    </row>
    <row r="38" spans="1:9" ht="72" customHeight="1" x14ac:dyDescent="0.3">
      <c r="A38" s="2" t="s">
        <v>182</v>
      </c>
      <c r="B38" s="3" t="s">
        <v>174</v>
      </c>
      <c r="C38" s="3" t="s">
        <v>183</v>
      </c>
      <c r="D38" s="3">
        <v>4</v>
      </c>
      <c r="E38" s="15" t="s">
        <v>131</v>
      </c>
      <c r="F38" s="4" t="s">
        <v>25</v>
      </c>
      <c r="G38" s="3" t="s">
        <v>184</v>
      </c>
      <c r="H38" s="3" t="s">
        <v>185</v>
      </c>
      <c r="I38" s="6" t="s">
        <v>15</v>
      </c>
    </row>
    <row r="39" spans="1:9" ht="72" customHeight="1" x14ac:dyDescent="0.3">
      <c r="A39" s="7" t="s">
        <v>186</v>
      </c>
      <c r="B39" s="8" t="s">
        <v>174</v>
      </c>
      <c r="C39" s="8" t="s">
        <v>187</v>
      </c>
      <c r="D39" s="8">
        <v>4</v>
      </c>
      <c r="E39" s="11" t="s">
        <v>24</v>
      </c>
      <c r="F39" s="5" t="s">
        <v>12</v>
      </c>
      <c r="G39" s="8" t="s">
        <v>188</v>
      </c>
      <c r="H39" s="8" t="s">
        <v>189</v>
      </c>
      <c r="I39" s="6" t="s">
        <v>15</v>
      </c>
    </row>
    <row r="40" spans="1:9" ht="72" customHeight="1" x14ac:dyDescent="0.3">
      <c r="A40" s="2" t="s">
        <v>190</v>
      </c>
      <c r="B40" s="3" t="s">
        <v>174</v>
      </c>
      <c r="C40" s="3" t="s">
        <v>191</v>
      </c>
      <c r="D40" s="3">
        <v>4</v>
      </c>
      <c r="E40" s="15" t="s">
        <v>131</v>
      </c>
      <c r="F40" s="10" t="s">
        <v>19</v>
      </c>
      <c r="G40" s="3" t="s">
        <v>192</v>
      </c>
      <c r="H40" s="3" t="s">
        <v>193</v>
      </c>
      <c r="I40" s="6" t="s">
        <v>15</v>
      </c>
    </row>
    <row r="41" spans="1:9" ht="72" customHeight="1" x14ac:dyDescent="0.3">
      <c r="A41" s="7" t="s">
        <v>194</v>
      </c>
      <c r="B41" s="8" t="s">
        <v>31</v>
      </c>
      <c r="C41" s="8" t="s">
        <v>195</v>
      </c>
      <c r="D41" s="8">
        <v>4</v>
      </c>
      <c r="E41" s="14" t="s">
        <v>196</v>
      </c>
      <c r="F41" s="14" t="s">
        <v>80</v>
      </c>
      <c r="G41" s="8" t="s">
        <v>197</v>
      </c>
      <c r="H41" s="8" t="s">
        <v>198</v>
      </c>
      <c r="I41" s="6" t="s">
        <v>15</v>
      </c>
    </row>
    <row r="42" spans="1:9" ht="72" customHeight="1" x14ac:dyDescent="0.3">
      <c r="A42" s="2" t="s">
        <v>199</v>
      </c>
      <c r="B42" s="3" t="s">
        <v>31</v>
      </c>
      <c r="C42" s="3" t="s">
        <v>200</v>
      </c>
      <c r="D42" s="3">
        <v>4</v>
      </c>
      <c r="E42" s="6" t="s">
        <v>31</v>
      </c>
      <c r="F42" s="4" t="s">
        <v>25</v>
      </c>
      <c r="G42" s="3" t="s">
        <v>201</v>
      </c>
      <c r="H42" s="3" t="s">
        <v>202</v>
      </c>
      <c r="I42" s="6" t="s">
        <v>15</v>
      </c>
    </row>
    <row r="43" spans="1:9" ht="72" customHeight="1" x14ac:dyDescent="0.3">
      <c r="A43" s="7" t="s">
        <v>203</v>
      </c>
      <c r="B43" s="8" t="s">
        <v>31</v>
      </c>
      <c r="C43" s="8" t="s">
        <v>204</v>
      </c>
      <c r="D43" s="8">
        <v>4</v>
      </c>
      <c r="E43" s="6" t="s">
        <v>31</v>
      </c>
      <c r="F43" s="4" t="s">
        <v>25</v>
      </c>
      <c r="G43" s="8" t="s">
        <v>205</v>
      </c>
      <c r="H43" s="8" t="s">
        <v>206</v>
      </c>
      <c r="I43" s="6" t="s">
        <v>15</v>
      </c>
    </row>
    <row r="44" spans="1:9" ht="72" customHeight="1" x14ac:dyDescent="0.3">
      <c r="A44" s="2" t="s">
        <v>207</v>
      </c>
      <c r="B44" s="3" t="s">
        <v>31</v>
      </c>
      <c r="C44" s="3" t="s">
        <v>208</v>
      </c>
      <c r="D44" s="3">
        <v>4</v>
      </c>
      <c r="E44" s="6" t="s">
        <v>31</v>
      </c>
      <c r="F44" s="4" t="s">
        <v>25</v>
      </c>
      <c r="G44" s="3" t="s">
        <v>209</v>
      </c>
      <c r="H44" s="3" t="s">
        <v>210</v>
      </c>
      <c r="I44" s="6" t="s">
        <v>15</v>
      </c>
    </row>
    <row r="45" spans="1:9" ht="72" customHeight="1" x14ac:dyDescent="0.3">
      <c r="A45" s="7" t="s">
        <v>211</v>
      </c>
      <c r="B45" s="8" t="s">
        <v>31</v>
      </c>
      <c r="C45" s="8" t="s">
        <v>212</v>
      </c>
      <c r="D45" s="8">
        <v>4</v>
      </c>
      <c r="E45" s="6" t="s">
        <v>31</v>
      </c>
      <c r="F45" s="4" t="s">
        <v>25</v>
      </c>
      <c r="G45" s="8" t="s">
        <v>213</v>
      </c>
      <c r="H45" s="8" t="s">
        <v>214</v>
      </c>
      <c r="I45" s="6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Normal="100" workbookViewId="0"/>
  </sheetViews>
  <sheetFormatPr defaultColWidth="8.6640625" defaultRowHeight="14.4" x14ac:dyDescent="0.3"/>
  <cols>
    <col min="1" max="1" width="28" customWidth="1"/>
    <col min="2" max="4" width="14" customWidth="1"/>
  </cols>
  <sheetData>
    <row r="1" spans="1:4" ht="27.75" customHeight="1" x14ac:dyDescent="0.3">
      <c r="A1" s="16" t="s">
        <v>215</v>
      </c>
      <c r="B1" s="16" t="s">
        <v>216</v>
      </c>
      <c r="C1" s="16" t="s">
        <v>15</v>
      </c>
      <c r="D1" s="16" t="s">
        <v>217</v>
      </c>
    </row>
    <row r="2" spans="1:4" ht="18" customHeight="1" x14ac:dyDescent="0.3">
      <c r="A2" s="47" t="s">
        <v>218</v>
      </c>
      <c r="B2" s="47"/>
      <c r="C2" s="47"/>
      <c r="D2" s="47"/>
    </row>
    <row r="3" spans="1:4" ht="18" customHeight="1" x14ac:dyDescent="0.3">
      <c r="A3" s="17" t="s">
        <v>174</v>
      </c>
      <c r="B3" s="18">
        <v>5</v>
      </c>
      <c r="C3" s="18">
        <v>5</v>
      </c>
      <c r="D3" s="19">
        <f t="shared" ref="D3:D21" si="0">C3/B3*100</f>
        <v>100</v>
      </c>
    </row>
    <row r="4" spans="1:4" ht="18" customHeight="1" x14ac:dyDescent="0.3">
      <c r="A4" s="20" t="s">
        <v>31</v>
      </c>
      <c r="B4" s="21">
        <v>5</v>
      </c>
      <c r="C4" s="21">
        <v>5</v>
      </c>
      <c r="D4" s="22">
        <f t="shared" si="0"/>
        <v>100</v>
      </c>
    </row>
    <row r="5" spans="1:4" ht="18" customHeight="1" x14ac:dyDescent="0.3">
      <c r="A5" s="17" t="s">
        <v>49</v>
      </c>
      <c r="B5" s="18">
        <v>4</v>
      </c>
      <c r="C5" s="18">
        <v>4</v>
      </c>
      <c r="D5" s="19">
        <f t="shared" si="0"/>
        <v>100</v>
      </c>
    </row>
    <row r="6" spans="1:4" ht="18" customHeight="1" x14ac:dyDescent="0.3">
      <c r="A6" s="20" t="s">
        <v>125</v>
      </c>
      <c r="B6" s="21">
        <v>4</v>
      </c>
      <c r="C6" s="21">
        <v>4</v>
      </c>
      <c r="D6" s="22">
        <f t="shared" si="0"/>
        <v>100</v>
      </c>
    </row>
    <row r="7" spans="1:4" ht="18" customHeight="1" x14ac:dyDescent="0.3">
      <c r="A7" s="17" t="s">
        <v>157</v>
      </c>
      <c r="B7" s="18">
        <v>4</v>
      </c>
      <c r="C7" s="18">
        <v>4</v>
      </c>
      <c r="D7" s="19">
        <f t="shared" si="0"/>
        <v>100</v>
      </c>
    </row>
    <row r="8" spans="1:4" ht="18" customHeight="1" x14ac:dyDescent="0.3">
      <c r="A8" s="20" t="s">
        <v>9</v>
      </c>
      <c r="B8" s="21">
        <v>3</v>
      </c>
      <c r="C8" s="21">
        <v>3</v>
      </c>
      <c r="D8" s="22">
        <f t="shared" si="0"/>
        <v>100</v>
      </c>
    </row>
    <row r="9" spans="1:4" ht="18" customHeight="1" x14ac:dyDescent="0.3">
      <c r="A9" s="17" t="s">
        <v>112</v>
      </c>
      <c r="B9" s="18">
        <v>3</v>
      </c>
      <c r="C9" s="18">
        <v>3</v>
      </c>
      <c r="D9" s="19">
        <f t="shared" si="0"/>
        <v>100</v>
      </c>
    </row>
    <row r="10" spans="1:4" ht="18" customHeight="1" x14ac:dyDescent="0.3">
      <c r="A10" s="20" t="s">
        <v>29</v>
      </c>
      <c r="B10" s="21">
        <v>2</v>
      </c>
      <c r="C10" s="21">
        <v>2</v>
      </c>
      <c r="D10" s="22">
        <f t="shared" si="0"/>
        <v>100</v>
      </c>
    </row>
    <row r="11" spans="1:4" ht="18" customHeight="1" x14ac:dyDescent="0.3">
      <c r="A11" s="17" t="s">
        <v>78</v>
      </c>
      <c r="B11" s="18">
        <v>2</v>
      </c>
      <c r="C11" s="18">
        <v>2</v>
      </c>
      <c r="D11" s="19">
        <f t="shared" si="0"/>
        <v>100</v>
      </c>
    </row>
    <row r="12" spans="1:4" ht="18" customHeight="1" x14ac:dyDescent="0.3">
      <c r="A12" s="20" t="s">
        <v>103</v>
      </c>
      <c r="B12" s="21">
        <v>2</v>
      </c>
      <c r="C12" s="21">
        <v>2</v>
      </c>
      <c r="D12" s="22">
        <f t="shared" si="0"/>
        <v>100</v>
      </c>
    </row>
    <row r="13" spans="1:4" ht="18" customHeight="1" x14ac:dyDescent="0.3">
      <c r="A13" s="17" t="s">
        <v>148</v>
      </c>
      <c r="B13" s="18">
        <v>2</v>
      </c>
      <c r="C13" s="18">
        <v>2</v>
      </c>
      <c r="D13" s="19">
        <f t="shared" si="0"/>
        <v>100</v>
      </c>
    </row>
    <row r="14" spans="1:4" ht="18" customHeight="1" x14ac:dyDescent="0.3">
      <c r="A14" s="20" t="s">
        <v>39</v>
      </c>
      <c r="B14" s="21">
        <v>1</v>
      </c>
      <c r="C14" s="21">
        <v>1</v>
      </c>
      <c r="D14" s="22">
        <f t="shared" si="0"/>
        <v>100</v>
      </c>
    </row>
    <row r="15" spans="1:4" ht="18" customHeight="1" x14ac:dyDescent="0.3">
      <c r="A15" s="17" t="s">
        <v>44</v>
      </c>
      <c r="B15" s="18">
        <v>1</v>
      </c>
      <c r="C15" s="18">
        <v>1</v>
      </c>
      <c r="D15" s="19">
        <f t="shared" si="0"/>
        <v>100</v>
      </c>
    </row>
    <row r="16" spans="1:4" ht="18" customHeight="1" x14ac:dyDescent="0.3">
      <c r="A16" s="20" t="s">
        <v>67</v>
      </c>
      <c r="B16" s="21">
        <v>1</v>
      </c>
      <c r="C16" s="21">
        <v>1</v>
      </c>
      <c r="D16" s="22">
        <f t="shared" si="0"/>
        <v>100</v>
      </c>
    </row>
    <row r="17" spans="1:4" ht="18" customHeight="1" x14ac:dyDescent="0.3">
      <c r="A17" s="17" t="s">
        <v>73</v>
      </c>
      <c r="B17" s="18">
        <v>1</v>
      </c>
      <c r="C17" s="18">
        <v>1</v>
      </c>
      <c r="D17" s="19">
        <f t="shared" si="0"/>
        <v>100</v>
      </c>
    </row>
    <row r="18" spans="1:4" ht="18" customHeight="1" x14ac:dyDescent="0.3">
      <c r="A18" s="20" t="s">
        <v>88</v>
      </c>
      <c r="B18" s="21">
        <v>1</v>
      </c>
      <c r="C18" s="21">
        <v>1</v>
      </c>
      <c r="D18" s="22">
        <f t="shared" si="0"/>
        <v>100</v>
      </c>
    </row>
    <row r="19" spans="1:4" ht="18" customHeight="1" x14ac:dyDescent="0.3">
      <c r="A19" s="17" t="s">
        <v>93</v>
      </c>
      <c r="B19" s="18">
        <v>1</v>
      </c>
      <c r="C19" s="18">
        <v>1</v>
      </c>
      <c r="D19" s="19">
        <f t="shared" si="0"/>
        <v>100</v>
      </c>
    </row>
    <row r="20" spans="1:4" ht="18" customHeight="1" x14ac:dyDescent="0.3">
      <c r="A20" s="20" t="s">
        <v>98</v>
      </c>
      <c r="B20" s="21">
        <v>1</v>
      </c>
      <c r="C20" s="21">
        <v>1</v>
      </c>
      <c r="D20" s="22">
        <f t="shared" si="0"/>
        <v>100</v>
      </c>
    </row>
    <row r="21" spans="1:4" ht="18" customHeight="1" x14ac:dyDescent="0.3">
      <c r="A21" s="17" t="s">
        <v>143</v>
      </c>
      <c r="B21" s="18">
        <v>1</v>
      </c>
      <c r="C21" s="18">
        <v>1</v>
      </c>
      <c r="D21" s="19">
        <f t="shared" si="0"/>
        <v>100</v>
      </c>
    </row>
    <row r="22" spans="1:4" ht="19.5" customHeight="1" x14ac:dyDescent="0.3">
      <c r="A22" s="23" t="s">
        <v>219</v>
      </c>
      <c r="B22" s="24">
        <f>SUM(B3:B21)</f>
        <v>44</v>
      </c>
      <c r="C22" s="24">
        <f>SUM(C3:C21)</f>
        <v>44</v>
      </c>
      <c r="D22" s="24" t="s">
        <v>220</v>
      </c>
    </row>
    <row r="24" spans="1:4" ht="18" customHeight="1" x14ac:dyDescent="0.3">
      <c r="A24" s="48" t="s">
        <v>221</v>
      </c>
      <c r="B24" s="48"/>
      <c r="C24" s="48"/>
      <c r="D24" s="48"/>
    </row>
    <row r="25" spans="1:4" ht="18" customHeight="1" x14ac:dyDescent="0.3">
      <c r="A25" s="25" t="s">
        <v>11</v>
      </c>
      <c r="B25" s="26">
        <v>13</v>
      </c>
      <c r="C25" s="26">
        <v>13</v>
      </c>
      <c r="D25" s="26" t="s">
        <v>220</v>
      </c>
    </row>
    <row r="26" spans="1:4" ht="18" customHeight="1" x14ac:dyDescent="0.3">
      <c r="A26" s="27" t="s">
        <v>24</v>
      </c>
      <c r="B26" s="28">
        <v>9</v>
      </c>
      <c r="C26" s="28">
        <v>9</v>
      </c>
      <c r="D26" s="28" t="s">
        <v>220</v>
      </c>
    </row>
    <row r="27" spans="1:4" ht="18" customHeight="1" x14ac:dyDescent="0.3">
      <c r="A27" s="29" t="s">
        <v>18</v>
      </c>
      <c r="B27" s="30">
        <v>7</v>
      </c>
      <c r="C27" s="30">
        <v>7</v>
      </c>
      <c r="D27" s="30" t="s">
        <v>220</v>
      </c>
    </row>
    <row r="28" spans="1:4" ht="18" customHeight="1" x14ac:dyDescent="0.3">
      <c r="A28" s="31" t="s">
        <v>31</v>
      </c>
      <c r="B28" s="32">
        <v>6</v>
      </c>
      <c r="C28" s="32">
        <v>6</v>
      </c>
      <c r="D28" s="32" t="s">
        <v>220</v>
      </c>
    </row>
    <row r="29" spans="1:4" ht="18" customHeight="1" x14ac:dyDescent="0.3">
      <c r="A29" s="33" t="s">
        <v>131</v>
      </c>
      <c r="B29" s="34">
        <v>5</v>
      </c>
      <c r="C29" s="34">
        <v>5</v>
      </c>
      <c r="D29" s="34" t="s">
        <v>220</v>
      </c>
    </row>
    <row r="30" spans="1:4" ht="18" customHeight="1" x14ac:dyDescent="0.3">
      <c r="A30" s="35" t="s">
        <v>63</v>
      </c>
      <c r="B30" s="36">
        <v>2</v>
      </c>
      <c r="C30" s="36">
        <v>2</v>
      </c>
      <c r="D30" s="36" t="s">
        <v>220</v>
      </c>
    </row>
    <row r="31" spans="1:4" ht="18" customHeight="1" x14ac:dyDescent="0.3">
      <c r="A31" s="37" t="s">
        <v>69</v>
      </c>
      <c r="B31" s="38">
        <v>1</v>
      </c>
      <c r="C31" s="38">
        <v>1</v>
      </c>
      <c r="D31" s="38" t="s">
        <v>220</v>
      </c>
    </row>
    <row r="32" spans="1:4" ht="18" customHeight="1" x14ac:dyDescent="0.3">
      <c r="A32" s="39" t="s">
        <v>196</v>
      </c>
      <c r="B32" s="40">
        <v>1</v>
      </c>
      <c r="C32" s="40">
        <v>1</v>
      </c>
      <c r="D32" s="40" t="s">
        <v>220</v>
      </c>
    </row>
    <row r="34" spans="1:4" ht="18" customHeight="1" x14ac:dyDescent="0.3">
      <c r="A34" s="49" t="s">
        <v>222</v>
      </c>
      <c r="B34" s="49"/>
      <c r="C34" s="49"/>
      <c r="D34" s="49"/>
    </row>
    <row r="35" spans="1:4" ht="18" customHeight="1" x14ac:dyDescent="0.3">
      <c r="A35" s="41" t="s">
        <v>80</v>
      </c>
      <c r="B35" s="40">
        <v>6</v>
      </c>
      <c r="C35" s="40">
        <v>6</v>
      </c>
      <c r="D35" s="40" t="s">
        <v>220</v>
      </c>
    </row>
    <row r="36" spans="1:4" ht="18" customHeight="1" x14ac:dyDescent="0.3">
      <c r="A36" s="42" t="s">
        <v>25</v>
      </c>
      <c r="B36" s="26">
        <v>20</v>
      </c>
      <c r="C36" s="26">
        <v>20</v>
      </c>
      <c r="D36" s="26" t="s">
        <v>220</v>
      </c>
    </row>
    <row r="37" spans="1:4" ht="18" customHeight="1" x14ac:dyDescent="0.3">
      <c r="A37" s="43" t="s">
        <v>12</v>
      </c>
      <c r="B37" s="44">
        <v>15</v>
      </c>
      <c r="C37" s="44">
        <v>15</v>
      </c>
      <c r="D37" s="44" t="s">
        <v>220</v>
      </c>
    </row>
    <row r="38" spans="1:4" ht="18" customHeight="1" x14ac:dyDescent="0.3">
      <c r="A38" s="45" t="s">
        <v>19</v>
      </c>
      <c r="B38" s="46">
        <v>3</v>
      </c>
      <c r="C38" s="46">
        <v>3</v>
      </c>
      <c r="D38" s="46" t="s">
        <v>220</v>
      </c>
    </row>
  </sheetData>
  <mergeCells count="3">
    <mergeCell ref="A2:D2"/>
    <mergeCell ref="A24:D24"/>
    <mergeCell ref="A34:D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Kumar Jangala</cp:lastModifiedBy>
  <cp:revision>0</cp:revision>
  <dcterms:created xsi:type="dcterms:W3CDTF">2026-03-10T14:45:59Z</dcterms:created>
  <dcterms:modified xsi:type="dcterms:W3CDTF">2026-04-17T01:42:21Z</dcterms:modified>
  <dc:language>en-US</dc:language>
</cp:coreProperties>
</file>